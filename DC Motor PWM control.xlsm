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iv Venkatram\Documents\Arduino_Excel\"/>
    </mc:Choice>
  </mc:AlternateContent>
  <xr:revisionPtr revIDLastSave="0" documentId="13_ncr:1_{B3650809-E75E-442B-A43F-C6A36BE8231C}" xr6:coauthVersionLast="36" xr6:coauthVersionMax="36" xr10:uidLastSave="{00000000-0000-0000-0000-000000000000}"/>
  <bookViews>
    <workbookView xWindow="32760" yWindow="32760" windowWidth="21000" windowHeight="11985" xr2:uid="{00000000-000D-0000-FFFF-FFFF00000000}"/>
  </bookViews>
  <sheets>
    <sheet name="Example" sheetId="7" r:id="rId1"/>
    <sheet name="Test" sheetId="8" state="hidden" r:id="rId2"/>
    <sheet name="Instructions" sheetId="5" state="hidden" r:id="rId3"/>
  </sheets>
  <definedNames>
    <definedName name="Range1">Example!$D$9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6" i="7" l="1"/>
  <c r="B3" i="7"/>
  <c r="B4" i="7" s="1"/>
  <c r="P20" i="7" l="1"/>
  <c r="P21" i="7" s="1"/>
  <c r="P28" i="7" s="1"/>
  <c r="P10" i="7"/>
  <c r="P11" i="7" s="1"/>
  <c r="P18" i="7"/>
  <c r="P7" i="7"/>
  <c r="P8" i="7" s="1"/>
  <c r="P9" i="7" s="1"/>
  <c r="P24" i="7" l="1"/>
  <c r="P25" i="7" s="1"/>
  <c r="P29" i="7"/>
  <c r="P22" i="7"/>
  <c r="P23" i="7" s="1"/>
  <c r="P19" i="7"/>
  <c r="P26" i="7" s="1"/>
  <c r="P27" i="7" s="1"/>
  <c r="P30" i="7" l="1"/>
  <c r="P31" i="7" s="1"/>
</calcChain>
</file>

<file path=xl/sharedStrings.xml><?xml version="1.0" encoding="utf-8"?>
<sst xmlns="http://schemas.openxmlformats.org/spreadsheetml/2006/main" count="39" uniqueCount="37">
  <si>
    <t>Introduction</t>
  </si>
  <si>
    <t>Getting started Office 2003</t>
  </si>
  <si>
    <t>Getting started Office 2013</t>
  </si>
  <si>
    <t>allow macro execution while file opening</t>
  </si>
  <si>
    <t>Advanced</t>
  </si>
  <si>
    <t>Rights</t>
  </si>
  <si>
    <t>this software written by Roberto Valgolio is freeware, any comments or suggestion will be appreciated</t>
  </si>
  <si>
    <t>Contacts</t>
  </si>
  <si>
    <t>if you have questions or you are interested for professional developments please contact roberto.valgolio@gmail.com</t>
  </si>
  <si>
    <t>press [CTRL][a] to activate the Arduino interface</t>
  </si>
  <si>
    <t>Run Macro</t>
  </si>
  <si>
    <t>Getting Started Arduino</t>
  </si>
  <si>
    <t>install the Arduino IDE and verfy the default COM</t>
  </si>
  <si>
    <t>Instructions</t>
  </si>
  <si>
    <t>if got repeated error from COM restart Excel</t>
  </si>
  <si>
    <t>set COM number and speed as Arduino_Excel.ino setting (see the sketch setup section)</t>
  </si>
  <si>
    <t>The tool is a powerful interface for Arduino apps performing charts and data logging, data can be stored and treated in this Excel file or picked from it</t>
  </si>
  <si>
    <t>on menu Tools, Macro, Protection, select Low as protection level (this allows VBA code to work)</t>
  </si>
  <si>
    <t>on File, Options, Protection Center, Macro settings check 'Trust access to the VBA project object model'</t>
  </si>
  <si>
    <t>on menu Tools, Macro,  Trusted Sources tab, set 'Trust access to Visual Basic Project'</t>
  </si>
  <si>
    <t>example3 for Arduino data picking</t>
  </si>
  <si>
    <t>Test</t>
  </si>
  <si>
    <t xml:space="preserve">install and compile the 'Arduino_Excel_xx.ino' sketch of the same author  (you can see output strings thru the serial monitor)
</t>
  </si>
  <si>
    <t>see comments in 'ArduinoExcel_xx.ino' sketch to understand how functions to Excel are structured</t>
  </si>
  <si>
    <t>don't edit manually the worksheet while the automatic update is on</t>
  </si>
  <si>
    <t>Frequency</t>
  </si>
  <si>
    <t>Voltage</t>
  </si>
  <si>
    <t>INPUTS</t>
  </si>
  <si>
    <t>Time (mS)</t>
  </si>
  <si>
    <t>Duty Cycle (%)</t>
  </si>
  <si>
    <t>Values</t>
  </si>
  <si>
    <t>Duty Cycle (Abs Value)</t>
  </si>
  <si>
    <t>CW</t>
  </si>
  <si>
    <t>CCW</t>
  </si>
  <si>
    <t>Rotor Direction</t>
  </si>
  <si>
    <t>CW = 0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</si>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</sst>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14"/>
      <color rgb="FFFF0000"/>
      <name val="Segoe UI"/>
      <family val="2"/>
    </font>
    <font>
      <sz val="10"/>
      <name val="Arial"/>
    </font>
    <font>
      <sz val="14"/>
      <color rgb="FFFFFF00"/>
      <name val="Segoe UI"/>
      <family val="2"/>
    </font>
    <font>
      <sz val="10"/>
      <color theme="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dotted">
        <color theme="0" tint="-0.499984740745262"/>
      </left>
      <right style="thin">
        <color theme="0" tint="-0.499984740745262"/>
      </right>
      <top style="thin">
        <color theme="4" tint="-0.24994659260841701"/>
      </top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/>
      <diagonal/>
    </border>
    <border>
      <left/>
      <right style="thin">
        <color theme="0" tint="-0.499984740745262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499984740745262"/>
      </right>
      <top/>
      <bottom style="dotted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499984740745262"/>
      </right>
      <top style="dotted">
        <color theme="0" tint="-0.34998626667073579"/>
      </top>
      <bottom style="dotted">
        <color theme="0" tint="-0.34998626667073579"/>
      </bottom>
      <diagonal/>
    </border>
    <border>
      <left style="dotted">
        <color theme="0" tint="-0.499984740745262"/>
      </left>
      <right style="thin">
        <color theme="0" tint="-0.499984740745262"/>
      </right>
      <top style="dotted">
        <color theme="0" tint="-0.499984740745262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tted">
        <color theme="0" tint="-0.499984740745262"/>
      </right>
      <top style="dotted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tted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2" borderId="0" xfId="0" applyFill="1"/>
    <xf numFmtId="0" fontId="0" fillId="2" borderId="0" xfId="0" applyFill="1" applyAlignment="1">
      <alignment vertical="top"/>
    </xf>
    <xf numFmtId="0" fontId="0" fillId="0" borderId="0" xfId="0" applyFill="1"/>
    <xf numFmtId="0" fontId="0" fillId="0" borderId="0" xfId="0" applyFill="1" applyAlignment="1">
      <alignment vertical="top"/>
    </xf>
    <xf numFmtId="1" fontId="0" fillId="0" borderId="0" xfId="0" applyNumberFormat="1"/>
    <xf numFmtId="0" fontId="3" fillId="0" borderId="0" xfId="0" applyFont="1"/>
    <xf numFmtId="164" fontId="3" fillId="0" borderId="0" xfId="0" applyNumberFormat="1" applyFont="1"/>
    <xf numFmtId="14" fontId="3" fillId="0" borderId="0" xfId="0" applyNumberFormat="1" applyFont="1"/>
    <xf numFmtId="9" fontId="3" fillId="0" borderId="0" xfId="0" applyNumberFormat="1" applyFont="1"/>
    <xf numFmtId="165" fontId="3" fillId="0" borderId="0" xfId="0" applyNumberFormat="1" applyFont="1"/>
    <xf numFmtId="9" fontId="3" fillId="0" borderId="2" xfId="1" applyFont="1" applyBorder="1" applyAlignment="1">
      <alignment horizontal="center"/>
    </xf>
    <xf numFmtId="0" fontId="3" fillId="4" borderId="0" xfId="0" applyFont="1" applyFill="1" applyBorder="1"/>
    <xf numFmtId="164" fontId="3" fillId="4" borderId="0" xfId="0" applyNumberFormat="1" applyFont="1" applyFill="1" applyBorder="1"/>
    <xf numFmtId="0" fontId="4" fillId="5" borderId="1" xfId="0" applyFont="1" applyFill="1" applyBorder="1" applyAlignment="1">
      <alignment horizontal="center"/>
    </xf>
    <xf numFmtId="0" fontId="3" fillId="4" borderId="5" xfId="0" applyFont="1" applyFill="1" applyBorder="1"/>
    <xf numFmtId="0" fontId="3" fillId="4" borderId="6" xfId="0" applyFont="1" applyFill="1" applyBorder="1"/>
    <xf numFmtId="164" fontId="3" fillId="4" borderId="8" xfId="0" applyNumberFormat="1" applyFont="1" applyFill="1" applyBorder="1"/>
    <xf numFmtId="0" fontId="3" fillId="4" borderId="8" xfId="0" applyFont="1" applyFill="1" applyBorder="1"/>
    <xf numFmtId="0" fontId="3" fillId="4" borderId="11" xfId="0" applyFont="1" applyFill="1" applyBorder="1"/>
    <xf numFmtId="0" fontId="3" fillId="4" borderId="12" xfId="0" applyFont="1" applyFill="1" applyBorder="1"/>
    <xf numFmtId="0" fontId="6" fillId="3" borderId="3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0" borderId="5" xfId="0" applyFont="1" applyFill="1" applyBorder="1"/>
    <xf numFmtId="0" fontId="4" fillId="0" borderId="5" xfId="0" applyFont="1" applyFill="1" applyBorder="1" applyAlignment="1">
      <alignment horizontal="center"/>
    </xf>
    <xf numFmtId="165" fontId="3" fillId="0" borderId="10" xfId="0" applyNumberFormat="1" applyFont="1" applyBorder="1" applyAlignment="1">
      <alignment horizontal="center"/>
    </xf>
    <xf numFmtId="1" fontId="3" fillId="0" borderId="5" xfId="0" applyNumberFormat="1" applyFont="1" applyFill="1" applyBorder="1"/>
    <xf numFmtId="1" fontId="4" fillId="5" borderId="15" xfId="0" applyNumberFormat="1" applyFont="1" applyFill="1" applyBorder="1" applyAlignment="1">
      <alignment horizontal="center"/>
    </xf>
    <xf numFmtId="0" fontId="3" fillId="0" borderId="15" xfId="0" applyFont="1" applyFill="1" applyBorder="1"/>
    <xf numFmtId="0" fontId="3" fillId="4" borderId="15" xfId="0" applyFont="1" applyFill="1" applyBorder="1"/>
    <xf numFmtId="0" fontId="3" fillId="4" borderId="16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6" borderId="7" xfId="0" applyFont="1" applyFill="1" applyBorder="1"/>
    <xf numFmtId="0" fontId="7" fillId="6" borderId="9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3" fillId="4" borderId="15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Example!$Q$3</c:f>
              <c:strCache>
                <c:ptCount val="1"/>
                <c:pt idx="0">
                  <c:v>Voltage</c:v>
                </c:pt>
              </c:strCache>
            </c:strRef>
          </c:tx>
          <c:spPr>
            <a:ln w="317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Example!$P$4:$P$11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255</c:v>
                </c:pt>
                <c:pt idx="3">
                  <c:v>255</c:v>
                </c:pt>
                <c:pt idx="4">
                  <c:v>510</c:v>
                </c:pt>
                <c:pt idx="5">
                  <c:v>510</c:v>
                </c:pt>
                <c:pt idx="6">
                  <c:v>765</c:v>
                </c:pt>
                <c:pt idx="7">
                  <c:v>765</c:v>
                </c:pt>
              </c:numCache>
            </c:numRef>
          </c:xVal>
          <c:yVal>
            <c:numRef>
              <c:f>Example!$Q$4:$Q$11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4D-4653-A7EB-F75E363D2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57888"/>
        <c:axId val="1839130624"/>
      </c:scatterChart>
      <c:valAx>
        <c:axId val="2115657888"/>
        <c:scaling>
          <c:orientation val="minMax"/>
          <c:max val="9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130624"/>
        <c:crosses val="autoZero"/>
        <c:crossBetween val="midCat"/>
        <c:majorUnit val="100"/>
      </c:valAx>
      <c:valAx>
        <c:axId val="183913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25371828521436E-2"/>
          <c:y val="2.5428331875182269E-2"/>
          <c:w val="0.91686000348354624"/>
          <c:h val="0.8416746864975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Example!$Q$15</c:f>
              <c:strCache>
                <c:ptCount val="1"/>
                <c:pt idx="0">
                  <c:v>Voltage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Example!$P$16:$P$31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765</c:v>
                </c:pt>
                <c:pt idx="13">
                  <c:v>765</c:v>
                </c:pt>
                <c:pt idx="14">
                  <c:v>765</c:v>
                </c:pt>
                <c:pt idx="15">
                  <c:v>765</c:v>
                </c:pt>
              </c:numCache>
            </c:numRef>
          </c:xVal>
          <c:yVal>
            <c:numRef>
              <c:f>Example!$Q$16:$Q$31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D-4065-A57C-9D8D51794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57888"/>
        <c:axId val="1839130624"/>
      </c:scatterChart>
      <c:valAx>
        <c:axId val="2115657888"/>
        <c:scaling>
          <c:orientation val="minMax"/>
          <c:max val="9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130624"/>
        <c:crosses val="autoZero"/>
        <c:crossBetween val="midCat"/>
      </c:valAx>
      <c:valAx>
        <c:axId val="183913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19050</xdr:rowOff>
        </xdr:from>
        <xdr:to>
          <xdr:col>6</xdr:col>
          <xdr:colOff>0</xdr:colOff>
          <xdr:row>2</xdr:row>
          <xdr:rowOff>9525</xdr:rowOff>
        </xdr:to>
        <xdr:sp macro="" textlink="">
          <xdr:nvSpPr>
            <xdr:cNvPr id="1025" name="Scroll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195262</xdr:colOff>
      <xdr:row>12</xdr:row>
      <xdr:rowOff>176212</xdr:rowOff>
    </xdr:from>
    <xdr:to>
      <xdr:col>13</xdr:col>
      <xdr:colOff>66675</xdr:colOff>
      <xdr:row>25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238125</xdr:colOff>
      <xdr:row>0</xdr:row>
      <xdr:rowOff>0</xdr:rowOff>
    </xdr:from>
    <xdr:to>
      <xdr:col>13</xdr:col>
      <xdr:colOff>142875</xdr:colOff>
      <xdr:row>12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9525</xdr:rowOff>
        </xdr:from>
        <xdr:to>
          <xdr:col>3</xdr:col>
          <xdr:colOff>501650</xdr:colOff>
          <xdr:row>6</xdr:row>
          <xdr:rowOff>9526</xdr:rowOff>
        </xdr:to>
        <xdr:sp macro="" textlink="">
          <xdr:nvSpPr>
            <xdr:cNvPr id="1026" name="ScrollBar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56856EF-15E1-4A91-92BC-5BA67D974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V32"/>
  <sheetViews>
    <sheetView showGridLines="0" showRowColHeaders="0" tabSelected="1" workbookViewId="0">
      <selection activeCell="I29" sqref="I29"/>
    </sheetView>
  </sheetViews>
  <sheetFormatPr defaultRowHeight="14.25" x14ac:dyDescent="0.25"/>
  <cols>
    <col min="1" max="1" width="20.7109375" style="12" customWidth="1"/>
    <col min="2" max="2" width="13.140625" style="12" customWidth="1"/>
    <col min="3" max="3" width="6.85546875" style="12" customWidth="1"/>
    <col min="4" max="5" width="9.140625" style="12"/>
    <col min="6" max="6" width="4.7109375" style="12" customWidth="1"/>
    <col min="7" max="15" width="9.140625" style="12"/>
    <col min="16" max="17" width="9.140625" style="12" customWidth="1"/>
    <col min="18" max="19" width="9.140625" style="12"/>
    <col min="20" max="20" width="10.140625" style="12" bestFit="1" customWidth="1"/>
    <col min="21" max="16384" width="9.140625" style="12"/>
  </cols>
  <sheetData>
    <row r="1" spans="1:22" ht="20.25" x14ac:dyDescent="0.35">
      <c r="A1" s="27" t="s">
        <v>27</v>
      </c>
      <c r="B1" s="28" t="s">
        <v>30</v>
      </c>
      <c r="C1" s="21"/>
      <c r="D1" s="21"/>
      <c r="E1" s="21"/>
      <c r="F1" s="22"/>
    </row>
    <row r="2" spans="1:22" ht="20.25" x14ac:dyDescent="0.35">
      <c r="A2" s="39" t="s">
        <v>31</v>
      </c>
      <c r="B2" s="20">
        <v>0</v>
      </c>
      <c r="C2" s="18"/>
      <c r="D2" s="18"/>
      <c r="E2" s="19"/>
      <c r="F2" s="23"/>
      <c r="G2" s="13"/>
      <c r="N2" s="14"/>
      <c r="O2" s="14"/>
      <c r="P2" s="14"/>
      <c r="Q2" s="14"/>
      <c r="V2" s="12" t="s">
        <v>32</v>
      </c>
    </row>
    <row r="3" spans="1:22" x14ac:dyDescent="0.25">
      <c r="A3" s="40" t="s">
        <v>29</v>
      </c>
      <c r="B3" s="17">
        <f>(B2/255)</f>
        <v>0</v>
      </c>
      <c r="C3" s="18"/>
      <c r="D3" s="18"/>
      <c r="E3" s="18"/>
      <c r="F3" s="24"/>
      <c r="P3" s="38" t="s">
        <v>25</v>
      </c>
      <c r="Q3" s="38" t="s">
        <v>26</v>
      </c>
      <c r="V3" s="12" t="s">
        <v>33</v>
      </c>
    </row>
    <row r="4" spans="1:22" x14ac:dyDescent="0.25">
      <c r="A4" s="41" t="s">
        <v>28</v>
      </c>
      <c r="B4" s="31">
        <f>B3*2</f>
        <v>0</v>
      </c>
      <c r="C4" s="25"/>
      <c r="D4" s="25"/>
      <c r="E4" s="25"/>
      <c r="F4" s="26"/>
      <c r="P4" s="37">
        <v>0</v>
      </c>
      <c r="Q4" s="37">
        <v>0</v>
      </c>
    </row>
    <row r="5" spans="1:22" ht="20.25" x14ac:dyDescent="0.35">
      <c r="A5" s="29"/>
      <c r="B5" s="30"/>
      <c r="C5" s="32"/>
      <c r="D5" s="29"/>
      <c r="E5" s="29"/>
      <c r="F5" s="29"/>
      <c r="P5" s="37">
        <v>0</v>
      </c>
      <c r="Q5" s="37">
        <v>5</v>
      </c>
    </row>
    <row r="6" spans="1:22" ht="20.25" x14ac:dyDescent="0.35">
      <c r="A6" s="42" t="s">
        <v>34</v>
      </c>
      <c r="B6" s="33">
        <v>1</v>
      </c>
      <c r="C6" s="34"/>
      <c r="D6" s="35"/>
      <c r="E6" s="43" t="s">
        <v>35</v>
      </c>
      <c r="F6" s="36"/>
      <c r="P6" s="37">
        <f>255</f>
        <v>255</v>
      </c>
      <c r="Q6" s="37">
        <v>5</v>
      </c>
    </row>
    <row r="7" spans="1:22" x14ac:dyDescent="0.25">
      <c r="B7" s="37">
        <v>1</v>
      </c>
      <c r="P7" s="37">
        <f>P6</f>
        <v>255</v>
      </c>
      <c r="Q7" s="37">
        <v>0</v>
      </c>
    </row>
    <row r="8" spans="1:22" x14ac:dyDescent="0.25">
      <c r="C8" s="15"/>
      <c r="P8" s="37">
        <f>P7*2</f>
        <v>510</v>
      </c>
      <c r="Q8" s="37">
        <v>0</v>
      </c>
    </row>
    <row r="9" spans="1:22" x14ac:dyDescent="0.25">
      <c r="C9" s="16"/>
      <c r="P9" s="37">
        <f>P8</f>
        <v>510</v>
      </c>
      <c r="Q9" s="37">
        <v>5</v>
      </c>
    </row>
    <row r="10" spans="1:22" x14ac:dyDescent="0.25">
      <c r="A10" s="12" t="s">
        <v>36</v>
      </c>
      <c r="P10" s="37">
        <f>P6*3</f>
        <v>765</v>
      </c>
      <c r="Q10" s="37">
        <v>5</v>
      </c>
    </row>
    <row r="11" spans="1:22" x14ac:dyDescent="0.25">
      <c r="P11" s="37">
        <f>P10</f>
        <v>765</v>
      </c>
      <c r="Q11" s="37">
        <v>0</v>
      </c>
    </row>
    <row r="12" spans="1:22" x14ac:dyDescent="0.25">
      <c r="P12" s="37"/>
      <c r="Q12" s="37"/>
    </row>
    <row r="13" spans="1:22" x14ac:dyDescent="0.25">
      <c r="P13" s="37"/>
      <c r="Q13" s="37"/>
    </row>
    <row r="14" spans="1:22" x14ac:dyDescent="0.25">
      <c r="P14" s="37"/>
      <c r="Q14" s="37"/>
    </row>
    <row r="15" spans="1:22" x14ac:dyDescent="0.25">
      <c r="P15" s="38" t="s">
        <v>25</v>
      </c>
      <c r="Q15" s="38" t="s">
        <v>26</v>
      </c>
    </row>
    <row r="16" spans="1:22" x14ac:dyDescent="0.25">
      <c r="P16" s="37">
        <v>0</v>
      </c>
      <c r="Q16" s="37">
        <v>0</v>
      </c>
    </row>
    <row r="17" spans="16:17" x14ac:dyDescent="0.25">
      <c r="P17" s="37">
        <v>0</v>
      </c>
      <c r="Q17" s="37">
        <v>5</v>
      </c>
    </row>
    <row r="18" spans="16:17" x14ac:dyDescent="0.25">
      <c r="P18" s="37">
        <f>B2</f>
        <v>0</v>
      </c>
      <c r="Q18" s="37">
        <v>5</v>
      </c>
    </row>
    <row r="19" spans="16:17" x14ac:dyDescent="0.25">
      <c r="P19" s="37">
        <f>P18</f>
        <v>0</v>
      </c>
      <c r="Q19" s="37">
        <v>0</v>
      </c>
    </row>
    <row r="20" spans="16:17" x14ac:dyDescent="0.25">
      <c r="P20" s="37">
        <f>P6</f>
        <v>255</v>
      </c>
      <c r="Q20" s="37">
        <v>0</v>
      </c>
    </row>
    <row r="21" spans="16:17" x14ac:dyDescent="0.25">
      <c r="P21" s="37">
        <f>P20</f>
        <v>255</v>
      </c>
      <c r="Q21" s="37">
        <v>5</v>
      </c>
    </row>
    <row r="22" spans="16:17" x14ac:dyDescent="0.25">
      <c r="P22" s="37">
        <f>P21+P18</f>
        <v>255</v>
      </c>
      <c r="Q22" s="37">
        <v>5</v>
      </c>
    </row>
    <row r="23" spans="16:17" x14ac:dyDescent="0.25">
      <c r="P23" s="37">
        <f>P22</f>
        <v>255</v>
      </c>
      <c r="Q23" s="37">
        <v>0</v>
      </c>
    </row>
    <row r="24" spans="16:17" x14ac:dyDescent="0.25">
      <c r="P24" s="37">
        <f>P20*2</f>
        <v>510</v>
      </c>
      <c r="Q24" s="37">
        <v>0</v>
      </c>
    </row>
    <row r="25" spans="16:17" x14ac:dyDescent="0.25">
      <c r="P25" s="37">
        <f>P24</f>
        <v>510</v>
      </c>
      <c r="Q25" s="37">
        <v>5</v>
      </c>
    </row>
    <row r="26" spans="16:17" x14ac:dyDescent="0.25">
      <c r="P26" s="37">
        <f>P25+P19</f>
        <v>510</v>
      </c>
      <c r="Q26" s="37">
        <v>5</v>
      </c>
    </row>
    <row r="27" spans="16:17" x14ac:dyDescent="0.25">
      <c r="P27" s="37">
        <f>P26</f>
        <v>510</v>
      </c>
      <c r="Q27" s="37">
        <v>0</v>
      </c>
    </row>
    <row r="28" spans="16:17" x14ac:dyDescent="0.25">
      <c r="P28" s="37">
        <f>P21*3</f>
        <v>765</v>
      </c>
      <c r="Q28" s="37">
        <v>0</v>
      </c>
    </row>
    <row r="29" spans="16:17" x14ac:dyDescent="0.25">
      <c r="P29" s="37">
        <f>P20*3</f>
        <v>765</v>
      </c>
      <c r="Q29" s="37">
        <v>5</v>
      </c>
    </row>
    <row r="30" spans="16:17" x14ac:dyDescent="0.25">
      <c r="P30" s="37">
        <f>P29+P19</f>
        <v>765</v>
      </c>
      <c r="Q30" s="37">
        <v>5</v>
      </c>
    </row>
    <row r="31" spans="16:17" x14ac:dyDescent="0.25">
      <c r="P31" s="37">
        <f>P30</f>
        <v>765</v>
      </c>
      <c r="Q31" s="37">
        <v>0</v>
      </c>
    </row>
    <row r="32" spans="16:17" x14ac:dyDescent="0.25">
      <c r="P32" s="37"/>
      <c r="Q32" s="37"/>
    </row>
  </sheetData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ScrollBar2">
          <controlPr defaultSize="0" autoLine="0" autoPict="0" linkedCell="B6" r:id="rId5">
            <anchor moveWithCells="1">
              <from>
                <xdr:col>2</xdr:col>
                <xdr:colOff>0</xdr:colOff>
                <xdr:row>5</xdr:row>
                <xdr:rowOff>9525</xdr:rowOff>
              </from>
              <to>
                <xdr:col>3</xdr:col>
                <xdr:colOff>504825</xdr:colOff>
                <xdr:row>6</xdr:row>
                <xdr:rowOff>9525</xdr:rowOff>
              </to>
            </anchor>
          </controlPr>
        </control>
      </mc:Choice>
      <mc:Fallback>
        <control shapeId="1026" r:id="rId4" name="ScrollBar2"/>
      </mc:Fallback>
    </mc:AlternateContent>
    <mc:AlternateContent xmlns:mc="http://schemas.openxmlformats.org/markup-compatibility/2006">
      <mc:Choice Requires="x14">
        <control shapeId="1025" r:id="rId6" name="ScrollBar1">
          <controlPr defaultSize="0" autoLine="0" autoPict="0" linkedCell="B2" r:id="rId7">
            <anchor moveWithCells="1">
              <from>
                <xdr:col>2</xdr:col>
                <xdr:colOff>19050</xdr:colOff>
                <xdr:row>1</xdr:row>
                <xdr:rowOff>19050</xdr:rowOff>
              </from>
              <to>
                <xdr:col>6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25" r:id="rId6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3:BT42578"/>
  <sheetViews>
    <sheetView workbookViewId="0">
      <selection activeCell="Q5" sqref="Q5"/>
    </sheetView>
  </sheetViews>
  <sheetFormatPr defaultRowHeight="12.75" x14ac:dyDescent="0.2"/>
  <sheetData>
    <row r="3" spans="2:7" x14ac:dyDescent="0.2">
      <c r="B3" t="s">
        <v>20</v>
      </c>
    </row>
    <row r="5" spans="2:7" x14ac:dyDescent="0.2">
      <c r="B5">
        <v>10</v>
      </c>
      <c r="C5" s="11"/>
      <c r="G5" s="9"/>
    </row>
    <row r="6" spans="2:7" x14ac:dyDescent="0.2">
      <c r="B6">
        <v>20</v>
      </c>
      <c r="C6" s="11"/>
    </row>
    <row r="7" spans="2:7" x14ac:dyDescent="0.2">
      <c r="B7">
        <v>30</v>
      </c>
      <c r="C7" s="11"/>
    </row>
    <row r="8" spans="2:7" x14ac:dyDescent="0.2">
      <c r="B8">
        <v>40</v>
      </c>
      <c r="C8" s="11"/>
    </row>
    <row r="9" spans="2:7" x14ac:dyDescent="0.2">
      <c r="B9">
        <v>50</v>
      </c>
      <c r="C9" s="11"/>
    </row>
    <row r="10" spans="2:7" x14ac:dyDescent="0.2">
      <c r="B10">
        <v>60</v>
      </c>
      <c r="C10" s="11"/>
    </row>
    <row r="11" spans="2:7" x14ac:dyDescent="0.2">
      <c r="B11">
        <v>70</v>
      </c>
      <c r="C11" s="11"/>
    </row>
    <row r="12" spans="2:7" x14ac:dyDescent="0.2">
      <c r="B12">
        <v>80</v>
      </c>
      <c r="C12" s="11"/>
    </row>
    <row r="13" spans="2:7" x14ac:dyDescent="0.2">
      <c r="B13">
        <v>90</v>
      </c>
      <c r="C13" s="11"/>
    </row>
    <row r="14" spans="2:7" x14ac:dyDescent="0.2">
      <c r="B14">
        <v>100</v>
      </c>
      <c r="C14" s="11"/>
    </row>
    <row r="15" spans="2:7" x14ac:dyDescent="0.2">
      <c r="B15">
        <v>110</v>
      </c>
      <c r="C15" s="11"/>
    </row>
    <row r="16" spans="2:7" x14ac:dyDescent="0.2">
      <c r="B16">
        <v>120</v>
      </c>
      <c r="C16" s="11"/>
    </row>
    <row r="17" spans="2:72" x14ac:dyDescent="0.2">
      <c r="B17">
        <v>130</v>
      </c>
      <c r="C17" s="11"/>
    </row>
    <row r="18" spans="2:72" x14ac:dyDescent="0.2">
      <c r="B18">
        <v>140</v>
      </c>
      <c r="C18" s="11"/>
    </row>
    <row r="19" spans="2:72" x14ac:dyDescent="0.2">
      <c r="B19">
        <v>150</v>
      </c>
      <c r="C19" s="11"/>
    </row>
    <row r="20" spans="2:72" x14ac:dyDescent="0.2">
      <c r="B20">
        <v>160</v>
      </c>
      <c r="C20" s="11"/>
    </row>
    <row r="21" spans="2:72" x14ac:dyDescent="0.2">
      <c r="B21">
        <v>170</v>
      </c>
      <c r="C21" s="11"/>
    </row>
    <row r="22" spans="2:72" x14ac:dyDescent="0.2">
      <c r="B22">
        <v>180</v>
      </c>
      <c r="C22" s="11"/>
    </row>
    <row r="23" spans="2:72" x14ac:dyDescent="0.2">
      <c r="B23">
        <v>190</v>
      </c>
      <c r="C23" s="11"/>
    </row>
    <row r="24" spans="2:72" x14ac:dyDescent="0.2">
      <c r="B24">
        <v>200</v>
      </c>
    </row>
    <row r="25" spans="2:72" x14ac:dyDescent="0.2">
      <c r="B25">
        <v>210</v>
      </c>
    </row>
    <row r="26" spans="2:72" x14ac:dyDescent="0.2">
      <c r="B26">
        <v>220</v>
      </c>
    </row>
    <row r="27" spans="2:72" x14ac:dyDescent="0.2">
      <c r="B27">
        <v>230</v>
      </c>
    </row>
    <row r="28" spans="2:72" x14ac:dyDescent="0.2">
      <c r="B28">
        <v>240</v>
      </c>
    </row>
    <row r="29" spans="2:72" x14ac:dyDescent="0.2">
      <c r="B29">
        <v>250</v>
      </c>
    </row>
    <row r="30" spans="2:72" x14ac:dyDescent="0.2">
      <c r="B30">
        <v>260</v>
      </c>
      <c r="BT30">
        <v>360</v>
      </c>
    </row>
    <row r="31" spans="2:72" x14ac:dyDescent="0.2">
      <c r="B31">
        <v>270</v>
      </c>
    </row>
    <row r="32" spans="2:72" x14ac:dyDescent="0.2">
      <c r="B32">
        <v>280</v>
      </c>
    </row>
    <row r="33" spans="2:2" x14ac:dyDescent="0.2">
      <c r="B33">
        <v>290</v>
      </c>
    </row>
    <row r="34" spans="2:2" x14ac:dyDescent="0.2">
      <c r="B34">
        <v>300</v>
      </c>
    </row>
    <row r="35" spans="2:2" x14ac:dyDescent="0.2">
      <c r="B35">
        <v>310</v>
      </c>
    </row>
    <row r="36" spans="2:2" x14ac:dyDescent="0.2">
      <c r="B36">
        <v>320</v>
      </c>
    </row>
    <row r="37" spans="2:2" x14ac:dyDescent="0.2">
      <c r="B37">
        <v>330</v>
      </c>
    </row>
    <row r="38" spans="2:2" x14ac:dyDescent="0.2">
      <c r="B38">
        <v>340</v>
      </c>
    </row>
    <row r="39" spans="2:2" x14ac:dyDescent="0.2">
      <c r="B39">
        <v>350</v>
      </c>
    </row>
    <row r="40" spans="2:2" x14ac:dyDescent="0.2">
      <c r="B40">
        <v>360</v>
      </c>
    </row>
    <row r="41" spans="2:2" x14ac:dyDescent="0.2">
      <c r="B41">
        <v>370</v>
      </c>
    </row>
    <row r="42" spans="2:2" x14ac:dyDescent="0.2">
      <c r="B42">
        <v>380</v>
      </c>
    </row>
    <row r="43" spans="2:2" x14ac:dyDescent="0.2">
      <c r="B43">
        <v>390</v>
      </c>
    </row>
    <row r="44" spans="2:2" x14ac:dyDescent="0.2">
      <c r="B44">
        <v>400</v>
      </c>
    </row>
    <row r="45" spans="2:2" x14ac:dyDescent="0.2">
      <c r="B45">
        <v>410</v>
      </c>
    </row>
    <row r="46" spans="2:2" x14ac:dyDescent="0.2">
      <c r="B46">
        <v>420</v>
      </c>
    </row>
    <row r="47" spans="2:2" x14ac:dyDescent="0.2">
      <c r="B47">
        <v>430</v>
      </c>
    </row>
    <row r="48" spans="2:2" x14ac:dyDescent="0.2">
      <c r="B48">
        <v>440</v>
      </c>
    </row>
    <row r="49" spans="2:5" x14ac:dyDescent="0.2">
      <c r="B49">
        <v>450</v>
      </c>
    </row>
    <row r="50" spans="2:5" x14ac:dyDescent="0.2">
      <c r="B50">
        <v>460</v>
      </c>
    </row>
    <row r="51" spans="2:5" x14ac:dyDescent="0.2">
      <c r="B51">
        <v>470</v>
      </c>
    </row>
    <row r="52" spans="2:5" x14ac:dyDescent="0.2">
      <c r="B52">
        <v>480</v>
      </c>
    </row>
    <row r="53" spans="2:5" x14ac:dyDescent="0.2">
      <c r="B53">
        <v>490</v>
      </c>
    </row>
    <row r="54" spans="2:5" x14ac:dyDescent="0.2">
      <c r="B54">
        <v>500</v>
      </c>
    </row>
    <row r="55" spans="2:5" x14ac:dyDescent="0.2">
      <c r="B55">
        <v>510</v>
      </c>
    </row>
    <row r="56" spans="2:5" x14ac:dyDescent="0.2">
      <c r="B56">
        <v>520</v>
      </c>
    </row>
    <row r="57" spans="2:5" x14ac:dyDescent="0.2">
      <c r="B57">
        <v>530</v>
      </c>
    </row>
    <row r="58" spans="2:5" x14ac:dyDescent="0.2">
      <c r="B58">
        <v>540</v>
      </c>
    </row>
    <row r="59" spans="2:5" x14ac:dyDescent="0.2">
      <c r="B59">
        <v>550</v>
      </c>
    </row>
    <row r="60" spans="2:5" x14ac:dyDescent="0.2">
      <c r="B60">
        <v>560</v>
      </c>
    </row>
    <row r="61" spans="2:5" x14ac:dyDescent="0.2">
      <c r="B61">
        <v>570</v>
      </c>
    </row>
    <row r="62" spans="2:5" x14ac:dyDescent="0.2">
      <c r="B62">
        <v>580</v>
      </c>
    </row>
    <row r="63" spans="2:5" x14ac:dyDescent="0.2">
      <c r="B63">
        <v>590</v>
      </c>
    </row>
    <row r="64" spans="2:5" x14ac:dyDescent="0.2">
      <c r="B64">
        <v>600</v>
      </c>
      <c r="C64" s="9"/>
      <c r="D64" s="9"/>
      <c r="E64" s="9"/>
    </row>
    <row r="27771" spans="3:3" x14ac:dyDescent="0.2">
      <c r="C27771" t="s">
        <v>21</v>
      </c>
    </row>
    <row r="42578" spans="3:3" x14ac:dyDescent="0.2">
      <c r="C42578">
        <v>430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2:D30"/>
  <sheetViews>
    <sheetView topLeftCell="A4" workbookViewId="0">
      <selection activeCell="A2" sqref="A2"/>
    </sheetView>
  </sheetViews>
  <sheetFormatPr defaultRowHeight="12.75" x14ac:dyDescent="0.2"/>
  <cols>
    <col min="1" max="1" width="26" customWidth="1"/>
    <col min="2" max="2" width="118.7109375" bestFit="1" customWidth="1"/>
  </cols>
  <sheetData>
    <row r="2" spans="1:2" x14ac:dyDescent="0.2">
      <c r="A2" s="6" t="s">
        <v>13</v>
      </c>
      <c r="B2" s="6" t="s">
        <v>0</v>
      </c>
    </row>
    <row r="3" spans="1:2" ht="25.5" x14ac:dyDescent="0.2">
      <c r="A3" s="10"/>
      <c r="B3" s="3" t="s">
        <v>16</v>
      </c>
    </row>
    <row r="4" spans="1:2" x14ac:dyDescent="0.2">
      <c r="A4" s="10"/>
      <c r="B4" s="3"/>
    </row>
    <row r="5" spans="1:2" x14ac:dyDescent="0.2">
      <c r="A5" s="4"/>
      <c r="B5" s="2" t="s">
        <v>11</v>
      </c>
    </row>
    <row r="6" spans="1:2" x14ac:dyDescent="0.2">
      <c r="A6" s="4"/>
      <c r="B6" s="3" t="s">
        <v>12</v>
      </c>
    </row>
    <row r="7" spans="1:2" ht="13.15" customHeight="1" x14ac:dyDescent="0.2">
      <c r="A7" s="4"/>
      <c r="B7" s="3" t="s">
        <v>22</v>
      </c>
    </row>
    <row r="8" spans="1:2" x14ac:dyDescent="0.2">
      <c r="A8" s="4"/>
      <c r="B8" s="1"/>
    </row>
    <row r="9" spans="1:2" x14ac:dyDescent="0.2">
      <c r="A9" s="4"/>
      <c r="B9" s="2" t="s">
        <v>1</v>
      </c>
    </row>
    <row r="10" spans="1:2" x14ac:dyDescent="0.2">
      <c r="A10" s="4"/>
      <c r="B10" s="1" t="s">
        <v>17</v>
      </c>
    </row>
    <row r="11" spans="1:2" x14ac:dyDescent="0.2">
      <c r="A11" s="4"/>
      <c r="B11" s="1" t="s">
        <v>19</v>
      </c>
    </row>
    <row r="12" spans="1:2" x14ac:dyDescent="0.2">
      <c r="A12" s="4"/>
      <c r="B12" s="4"/>
    </row>
    <row r="13" spans="1:2" x14ac:dyDescent="0.2">
      <c r="A13" s="4"/>
      <c r="B13" s="2" t="s">
        <v>2</v>
      </c>
    </row>
    <row r="14" spans="1:2" x14ac:dyDescent="0.2">
      <c r="A14" s="4"/>
      <c r="B14" s="5" t="s">
        <v>3</v>
      </c>
    </row>
    <row r="15" spans="1:2" x14ac:dyDescent="0.2">
      <c r="A15" s="4"/>
      <c r="B15" s="5" t="s">
        <v>18</v>
      </c>
    </row>
    <row r="16" spans="1:2" x14ac:dyDescent="0.2">
      <c r="A16" s="4"/>
      <c r="B16" s="1"/>
    </row>
    <row r="17" spans="1:4" x14ac:dyDescent="0.2">
      <c r="A17" s="4"/>
      <c r="B17" s="2" t="s">
        <v>10</v>
      </c>
    </row>
    <row r="18" spans="1:4" x14ac:dyDescent="0.2">
      <c r="A18" s="4"/>
      <c r="B18" s="3" t="s">
        <v>9</v>
      </c>
    </row>
    <row r="19" spans="1:4" x14ac:dyDescent="0.2">
      <c r="A19" s="4"/>
      <c r="B19" s="3" t="s">
        <v>15</v>
      </c>
    </row>
    <row r="20" spans="1:4" x14ac:dyDescent="0.2">
      <c r="A20" s="4"/>
      <c r="B20" s="3" t="s">
        <v>24</v>
      </c>
    </row>
    <row r="21" spans="1:4" x14ac:dyDescent="0.2">
      <c r="A21" s="4"/>
      <c r="B21" s="3" t="s">
        <v>14</v>
      </c>
    </row>
    <row r="22" spans="1:4" x14ac:dyDescent="0.2">
      <c r="A22" s="4"/>
      <c r="B22" s="1"/>
    </row>
    <row r="23" spans="1:4" x14ac:dyDescent="0.2">
      <c r="A23" s="4"/>
      <c r="B23" s="2" t="s">
        <v>4</v>
      </c>
    </row>
    <row r="24" spans="1:4" x14ac:dyDescent="0.2">
      <c r="A24" s="4"/>
      <c r="B24" s="3" t="s">
        <v>23</v>
      </c>
    </row>
    <row r="25" spans="1:4" x14ac:dyDescent="0.2">
      <c r="A25" s="4"/>
      <c r="B25" s="5"/>
    </row>
    <row r="26" spans="1:4" x14ac:dyDescent="0.2">
      <c r="A26" s="4"/>
      <c r="B26" s="6" t="s">
        <v>5</v>
      </c>
    </row>
    <row r="27" spans="1:4" x14ac:dyDescent="0.2">
      <c r="A27" s="4"/>
      <c r="B27" s="4" t="s">
        <v>6</v>
      </c>
    </row>
    <row r="28" spans="1:4" x14ac:dyDescent="0.2">
      <c r="A28" s="4"/>
      <c r="B28" s="4"/>
    </row>
    <row r="29" spans="1:4" x14ac:dyDescent="0.2">
      <c r="A29" s="4"/>
      <c r="B29" s="6" t="s">
        <v>7</v>
      </c>
    </row>
    <row r="30" spans="1:4" x14ac:dyDescent="0.2">
      <c r="A30" s="4"/>
      <c r="B30" s="8" t="s">
        <v>8</v>
      </c>
      <c r="C30" s="7"/>
      <c r="D30" s="7"/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93FDD1-CBFA-4FAF-A3BB-702DB9FE942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Example</vt:lpstr>
      <vt:lpstr>Test</vt:lpstr>
      <vt:lpstr>Instructions</vt:lpstr>
      <vt:lpstr>Range1</vt:lpstr>
    </vt:vector>
  </TitlesOfParts>
  <Company>Casa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</dc:creator>
  <cp:lastModifiedBy>Sanjiv Venkatram</cp:lastModifiedBy>
  <dcterms:created xsi:type="dcterms:W3CDTF">2012-07-07T09:54:27Z</dcterms:created>
  <dcterms:modified xsi:type="dcterms:W3CDTF">2018-09-28T19:36:52Z</dcterms:modified>
</cp:coreProperties>
</file>